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80" documentId="11_2779F9B2FCDC5B6E264834899AD3CC78A628D2C5" xr6:coauthVersionLast="47" xr6:coauthVersionMax="47" xr10:uidLastSave="{8FD512E8-675A-48F6-B175-C58A241AA5C3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 a="1"/>
  <c r="F4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E6" i="1" a="1"/>
  <c r="E6" i="1"/>
  <c r="E4" i="1" a="1"/>
  <c r="E4" i="1"/>
  <c r="E5" i="1" a="1"/>
  <c r="E5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<sst xmlns="http://schemas.openxmlformats.org/spreadsheetml/2006/main" count="61" uniqueCount="60">
  <si>
    <t>Biggest Atlantic Hurricanes</t>
  </si>
  <si>
    <t>Name</t>
  </si>
  <si>
    <t>Start Date</t>
  </si>
  <si>
    <t>Damage 
(USD 
Millions)</t>
  </si>
  <si>
    <t>Category*</t>
  </si>
  <si>
    <t>Max 
Wind 
Speed</t>
  </si>
  <si>
    <t>Scale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</si>
  <si>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</si>
  <si>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</si>
  <si>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</si>
  <si>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</si>
  <si>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</si>
  <si>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</si>
  <si>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</si>
  <si>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</si>
  <si>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</si>
  <si>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</si>
  <si>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</si>
  <si>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</si>
  <si>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</si>
  <si>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</si>
  <si>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</si>
  <si>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</si>
  <si>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</si>
  <si>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</si>
  <si>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</si>
  <si>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</si>
  <si>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</si>
  <si>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</si>
  <si>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Damage</t>
  </si>
  <si>
    <t>Cuba</t>
  </si>
  <si>
    <t>October 30, 1932</t>
  </si>
  <si>
    <t>&lt;1000</t>
  </si>
  <si>
    <t>Moderate</t>
  </si>
  <si>
    <t>Central America</t>
  </si>
  <si>
    <t>June 4, 1934</t>
  </si>
  <si>
    <t>&lt;10000</t>
  </si>
  <si>
    <t>Severe</t>
  </si>
  <si>
    <t>Jérémie</t>
  </si>
  <si>
    <t>October 18, 1935</t>
  </si>
  <si>
    <t>&gt;100000</t>
  </si>
  <si>
    <t>Devastating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</si>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</sst>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H12" sqref="H12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6.28515625" bestFit="1" customWidth="1"/>
    <col min="6" max="6" width="76.42578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t="s">
        <v>6</v>
      </c>
    </row>
    <row r="4" spans="1:9">
      <c r="A4" t="s">
        <v>7</v>
      </c>
      <c r="B4" t="s">
        <v>8</v>
      </c>
      <c r="C4" s="3">
        <v>12</v>
      </c>
      <c r="D4">
        <v>3</v>
      </c>
      <c r="E4" s="6" cm="1">
        <f t="array" ref="E4">_xlfn.SWITCH(D4,1,95,2,110,3,129,4,156,5,"157 and over","No such catagory")</f>
        <v>129</v>
      </c>
      <c r="F4" t="str" cm="1">
        <f t="array" ref="F4">_xlfn.IFS(C4&lt;1000,"Moderate",C4&lt;10000,"Severe",C4&gt;100000,"Devastating")</f>
        <v>Moderate</v>
      </c>
      <c r="H4" t="s">
        <v>9</v>
      </c>
    </row>
    <row r="5" spans="1:9">
      <c r="A5" t="s">
        <v>10</v>
      </c>
      <c r="B5" t="s">
        <v>11</v>
      </c>
      <c r="C5" s="3">
        <v>1</v>
      </c>
      <c r="D5">
        <v>3</v>
      </c>
      <c r="E5" s="6" cm="1">
        <f t="array" ref="E5">_xlfn.SWITCH(D5,1,95,2,110,3,129,4,156,5,"157 and over","No such catagory")</f>
        <v>129</v>
      </c>
      <c r="F5" t="str" cm="1">
        <f t="array" ref="F5">_xlfn.IFS(C5&lt;1000,"Moderate",C5&lt;10000,"Severe",C5&gt;100000,"Devastating")</f>
        <v>Moderate</v>
      </c>
      <c r="H5" s="1" t="s">
        <v>12</v>
      </c>
      <c r="I5" s="1" t="s">
        <v>13</v>
      </c>
    </row>
    <row r="6" spans="1:9">
      <c r="A6" t="s">
        <v>14</v>
      </c>
      <c r="B6" t="s">
        <v>15</v>
      </c>
      <c r="C6" s="3">
        <v>5</v>
      </c>
      <c r="D6">
        <v>4</v>
      </c>
      <c r="E6" s="6" cm="1">
        <f t="array" ref="E6">_xlfn.SWITCH(D6,1,95,2,110,3,129,4,156,5,"157 and over","No such catagory")</f>
        <v>156</v>
      </c>
      <c r="F6" t="str" cm="1">
        <f t="array" ref="F6">_xlfn.IFS(C6&lt;1000,"Moderate",C6&lt;10000,"Severe",C6&gt;100000,"Devastating")</f>
        <v>Moderate</v>
      </c>
      <c r="H6">
        <v>5</v>
      </c>
      <c r="I6" t="s">
        <v>16</v>
      </c>
    </row>
    <row r="7" spans="1:9">
      <c r="A7" t="s">
        <v>17</v>
      </c>
      <c r="B7" t="s">
        <v>18</v>
      </c>
      <c r="C7" s="3">
        <v>20</v>
      </c>
      <c r="D7">
        <v>4</v>
      </c>
      <c r="E7" s="6" cm="1">
        <f t="array" ref="E7">_xlfn.SWITCH(D7,1,95,2,110,3,129,4,156,5,"157 and over","No such catagory")</f>
        <v>156</v>
      </c>
      <c r="F7" t="str" cm="1">
        <f t="array" ref="F7">_xlfn.IFS(C7&lt;1000,"Moderate",C7&lt;10000,"Severe",C7&gt;100000,"Devastating")</f>
        <v>Moderate</v>
      </c>
      <c r="H7">
        <v>4</v>
      </c>
      <c r="I7" s="4">
        <v>156</v>
      </c>
    </row>
    <row r="8" spans="1:9">
      <c r="A8" t="s">
        <v>19</v>
      </c>
      <c r="B8" t="s">
        <v>20</v>
      </c>
      <c r="C8" s="3">
        <v>20</v>
      </c>
      <c r="D8">
        <v>4</v>
      </c>
      <c r="E8" s="6" cm="1">
        <f t="array" ref="E8">_xlfn.SWITCH(D8,1,95,2,110,3,129,4,156,5,"157 and over","No such catagory")</f>
        <v>156</v>
      </c>
      <c r="F8" t="str" cm="1">
        <f t="array" ref="F8">_xlfn.IFS(C8&lt;1000,"Moderate",C8&lt;10000,"Severe",C8&gt;100000,"Devastating")</f>
        <v>Moderate</v>
      </c>
      <c r="H8">
        <v>3</v>
      </c>
      <c r="I8" s="4">
        <v>129</v>
      </c>
    </row>
    <row r="9" spans="1:9">
      <c r="A9" t="s">
        <v>21</v>
      </c>
      <c r="B9" t="s">
        <v>22</v>
      </c>
      <c r="C9" s="3">
        <v>50</v>
      </c>
      <c r="D9">
        <v>3</v>
      </c>
      <c r="E9" s="6" cm="1">
        <f t="array" ref="E9">_xlfn.SWITCH(D9,1,95,2,110,3,129,4,156,5,"157 and over","No such catagory")</f>
        <v>129</v>
      </c>
      <c r="F9" t="str" cm="1">
        <f t="array" ref="F9">_xlfn.IFS(C9&lt;1000,"Moderate",C9&lt;10000,"Severe",C9&gt;100000,"Devastating")</f>
        <v>Moderate</v>
      </c>
      <c r="H9">
        <v>2</v>
      </c>
      <c r="I9" s="4">
        <v>110</v>
      </c>
    </row>
    <row r="10" spans="1:9">
      <c r="A10" t="s">
        <v>23</v>
      </c>
      <c r="B10" t="s">
        <v>24</v>
      </c>
      <c r="C10" s="3">
        <v>100</v>
      </c>
      <c r="D10">
        <v>5</v>
      </c>
      <c r="E10" s="6" t="str" cm="1">
        <f t="array" ref="E10">_xlfn.SWITCH(D10,1,95,2,110,3,129,4,156,5,"157 and over","No such catagory")</f>
        <v>157 and over</v>
      </c>
      <c r="F10" t="str" cm="1">
        <f t="array" ref="F10">_xlfn.IFS(C10&lt;1000,"Moderate",C10&lt;10000,"Severe",C10&gt;100000,"Devastating")</f>
        <v>Moderate</v>
      </c>
      <c r="H10">
        <v>1</v>
      </c>
      <c r="I10" s="4">
        <v>95</v>
      </c>
    </row>
    <row r="11" spans="1:9">
      <c r="A11" t="s">
        <v>25</v>
      </c>
      <c r="B11" t="s">
        <v>26</v>
      </c>
      <c r="C11" s="3">
        <v>50</v>
      </c>
      <c r="D11">
        <v>4</v>
      </c>
      <c r="E11" s="6" cm="1">
        <f t="array" ref="E11">_xlfn.SWITCH(D11,1,95,2,110,3,129,4,156,5,"157 and over","No such catagory")</f>
        <v>156</v>
      </c>
      <c r="F11" t="str" cm="1">
        <f t="array" ref="F11">_xlfn.IFS(C11&lt;1000,"Moderate",C11&lt;10000,"Severe",C11&gt;100000,"Devastating")</f>
        <v>Moderate</v>
      </c>
    </row>
    <row r="12" spans="1:9">
      <c r="A12" t="s">
        <v>27</v>
      </c>
      <c r="B12" t="s">
        <v>28</v>
      </c>
      <c r="C12" s="3">
        <v>7.5</v>
      </c>
      <c r="D12">
        <v>4</v>
      </c>
      <c r="E12" s="6" cm="1">
        <f t="array" ref="E12">_xlfn.SWITCH(D12,1,95,2,110,3,129,4,156,5,"157 and over","No such catagory")</f>
        <v>156</v>
      </c>
      <c r="F12" t="str" cm="1">
        <f t="array" ref="F12">_xlfn.IFS(C12&lt;1000,"Moderate",C12&lt;10000,"Severe",C12&gt;100000,"Devastating")</f>
        <v>Moderate</v>
      </c>
      <c r="H12" t="s">
        <v>29</v>
      </c>
      <c r="I12" t="s">
        <v>6</v>
      </c>
    </row>
    <row r="13" spans="1:9">
      <c r="A13" t="s">
        <v>30</v>
      </c>
      <c r="B13" t="s">
        <v>31</v>
      </c>
      <c r="C13" s="3">
        <v>40</v>
      </c>
      <c r="D13">
        <v>5</v>
      </c>
      <c r="E13" s="6" t="str" cm="1">
        <f t="array" ref="E13">_xlfn.SWITCH(D13,1,95,2,110,3,129,4,156,5,"157 and over","No such catagory")</f>
        <v>157 and over</v>
      </c>
      <c r="F13" t="str" cm="1">
        <f t="array" ref="F13">_xlfn.IFS(C13&lt;1000,"Moderate",C13&lt;10000,"Severe",C13&gt;100000,"Devastating")</f>
        <v>Moderate</v>
      </c>
      <c r="H13" t="s">
        <v>32</v>
      </c>
      <c r="I13" t="s">
        <v>33</v>
      </c>
    </row>
    <row r="14" spans="1:9">
      <c r="A14" t="s">
        <v>34</v>
      </c>
      <c r="B14" t="s">
        <v>35</v>
      </c>
      <c r="C14" s="3">
        <v>2.6</v>
      </c>
      <c r="D14">
        <v>2</v>
      </c>
      <c r="E14" s="6" cm="1">
        <f t="array" ref="E14">_xlfn.SWITCH(D14,1,95,2,110,3,129,4,156,5,"157 and over","No such catagory")</f>
        <v>110</v>
      </c>
      <c r="F14" t="str" cm="1">
        <f t="array" ref="F14">_xlfn.IFS(C14&lt;1000,"Moderate",C14&lt;10000,"Severe",C14&gt;100000,"Devastating")</f>
        <v>Moderate</v>
      </c>
      <c r="H14" t="s">
        <v>36</v>
      </c>
      <c r="I14" t="s">
        <v>37</v>
      </c>
    </row>
    <row r="15" spans="1:9">
      <c r="A15" t="s">
        <v>38</v>
      </c>
      <c r="B15" t="s">
        <v>39</v>
      </c>
      <c r="C15" s="3">
        <v>16</v>
      </c>
      <c r="D15">
        <v>1</v>
      </c>
      <c r="E15" s="6" cm="1">
        <f t="array" ref="E15">_xlfn.SWITCH(D15,1,95,2,110,3,129,4,156,5,"157 and over","No such catagory")</f>
        <v>95</v>
      </c>
      <c r="F15" t="str" cm="1">
        <f t="array" ref="F15">_xlfn.IFS(C15&lt;1000,"Moderate",C15&lt;10000,"Severe",C15&gt;100000,"Devastating")</f>
        <v>Moderate</v>
      </c>
      <c r="H15" t="s">
        <v>40</v>
      </c>
      <c r="I15" t="s">
        <v>41</v>
      </c>
    </row>
    <row r="16" spans="1:9">
      <c r="A16" t="s">
        <v>42</v>
      </c>
      <c r="B16" t="s">
        <v>43</v>
      </c>
      <c r="C16" s="3">
        <v>529</v>
      </c>
      <c r="D16">
        <v>4</v>
      </c>
      <c r="E16" s="6" cm="1">
        <f t="array" ref="E16">_xlfn.SWITCH(D16,1,95,2,110,3,129,4,156,5,"157 and over","No such catagory")</f>
        <v>156</v>
      </c>
      <c r="F16" t="str" cm="1">
        <f t="array" ref="F16">_xlfn.IFS(C16&lt;1000,"Moderate",C16&lt;10000,"Severe",C16&gt;100000,"Devastating")</f>
        <v>Moderate</v>
      </c>
    </row>
    <row r="17" spans="1:6">
      <c r="A17" t="s">
        <v>44</v>
      </c>
      <c r="B17" t="s">
        <v>45</v>
      </c>
      <c r="C17" s="3">
        <v>1800</v>
      </c>
      <c r="D17">
        <v>2</v>
      </c>
      <c r="E17" s="6" cm="1">
        <f t="array" ref="E17">_xlfn.SWITCH(D17,1,95,2,110,3,129,4,156,5,"157 and over","No such catagory")</f>
        <v>110</v>
      </c>
      <c r="F17" t="str" cm="1">
        <f t="array" ref="F17">_xlfn.IFS(C17&lt;1000,"Moderate",C17&lt;10000,"Severe",C17&gt;100000,"Devastating")</f>
        <v>Severe</v>
      </c>
    </row>
    <row r="18" spans="1:6">
      <c r="A18" t="s">
        <v>46</v>
      </c>
      <c r="B18" t="s">
        <v>47</v>
      </c>
      <c r="C18" s="3">
        <v>1540</v>
      </c>
      <c r="D18">
        <v>5</v>
      </c>
      <c r="E18" s="6" t="str" cm="1">
        <f t="array" ref="E18">_xlfn.SWITCH(D18,1,95,2,110,3,129,4,156,5,"157 and over","No such catagory")</f>
        <v>157 and over</v>
      </c>
      <c r="F18" t="str" cm="1">
        <f t="array" ref="F18">_xlfn.IFS(C18&lt;1000,"Moderate",C18&lt;10000,"Severe",C18&gt;100000,"Devastating")</f>
        <v>Severe</v>
      </c>
    </row>
    <row r="19" spans="1:6">
      <c r="A19" t="s">
        <v>48</v>
      </c>
      <c r="B19" t="s">
        <v>49</v>
      </c>
      <c r="C19" s="3">
        <v>594</v>
      </c>
      <c r="D19">
        <v>1</v>
      </c>
      <c r="E19" s="6" cm="1">
        <f t="array" ref="E19">_xlfn.SWITCH(D19,1,95,2,110,3,129,4,156,5,"157 and over","No such catagory")</f>
        <v>95</v>
      </c>
      <c r="F19" t="str" cm="1">
        <f t="array" ref="F19">_xlfn.IFS(C19&lt;1000,"Moderate",C19&lt;10000,"Severe",C19&gt;100000,"Devastating")</f>
        <v>Moderate</v>
      </c>
    </row>
    <row r="20" spans="1:6">
      <c r="A20" t="s">
        <v>50</v>
      </c>
      <c r="B20" t="s">
        <v>51</v>
      </c>
      <c r="C20" s="3">
        <v>6200</v>
      </c>
      <c r="D20">
        <v>5</v>
      </c>
      <c r="E20" s="6" t="str" cm="1">
        <f t="array" ref="E20">_xlfn.SWITCH(D20,1,95,2,110,3,129,4,156,5,"157 and over","No such catagory")</f>
        <v>157 and over</v>
      </c>
      <c r="F20" t="str" cm="1">
        <f t="array" ref="F20">_xlfn.IFS(C20&lt;1000,"Moderate",C20&lt;10000,"Severe",C20&gt;100000,"Devastating")</f>
        <v>Severe</v>
      </c>
    </row>
    <row r="21" spans="1:6">
      <c r="A21" t="s">
        <v>52</v>
      </c>
      <c r="B21" t="s">
        <v>53</v>
      </c>
      <c r="C21" s="3">
        <v>7660</v>
      </c>
      <c r="D21">
        <v>3</v>
      </c>
      <c r="E21" s="6" cm="1">
        <f t="array" ref="E21">_xlfn.SWITCH(D21,1,95,2,110,3,129,4,156,5,"157 and over","No such catagory")</f>
        <v>129</v>
      </c>
      <c r="F21" t="str" cm="1">
        <f t="array" ref="F21">_xlfn.IFS(C21&lt;1000,"Moderate",C21&lt;10000,"Severe",C21&gt;100000,"Devastating")</f>
        <v>Severe</v>
      </c>
    </row>
    <row r="22" spans="1:6">
      <c r="A22" t="s">
        <v>54</v>
      </c>
      <c r="B22" t="s">
        <v>55</v>
      </c>
      <c r="C22" s="3">
        <v>108000</v>
      </c>
      <c r="D22">
        <v>5</v>
      </c>
      <c r="E22" s="6" t="str" cm="1">
        <f t="array" ref="E22">_xlfn.SWITCH(D22,1,95,2,110,3,129,4,156,5,"157 and over","No such catagory")</f>
        <v>157 and over</v>
      </c>
      <c r="F22" t="str" cm="1">
        <f t="array" ref="F22">_xlfn.IFS(C22&lt;1000,"Moderate",C22&lt;10000,"Severe",C22&gt;100000,"Devastating")</f>
        <v>Devastating</v>
      </c>
    </row>
    <row r="23" spans="1:6">
      <c r="A23" t="s">
        <v>56</v>
      </c>
      <c r="B23" t="s">
        <v>57</v>
      </c>
      <c r="C23" s="3">
        <v>3960</v>
      </c>
      <c r="D23">
        <v>1</v>
      </c>
      <c r="E23" s="6" cm="1">
        <f t="array" ref="E23">_xlfn.SWITCH(D23,1,95,2,110,3,129,4,156,5,"157 and over","No such catagory")</f>
        <v>95</v>
      </c>
      <c r="F23" t="str" cm="1">
        <f t="array" ref="F23">_xlfn.IFS(C23&lt;1000,"Moderate",C23&lt;10000,"Severe",C23&gt;100000,"Devastating")</f>
        <v>Severe</v>
      </c>
    </row>
    <row r="24" spans="1:6">
      <c r="A24" t="s">
        <v>58</v>
      </c>
      <c r="B24" t="s">
        <v>59</v>
      </c>
      <c r="C24" s="3">
        <v>300000</v>
      </c>
      <c r="D24">
        <v>7</v>
      </c>
      <c r="E24" s="6" t="str" cm="1">
        <f t="array" ref="E24">_xlfn.SWITCH(D24,1,95,2,110,3,129,4,156,5,"157 and over","No such catagory")</f>
        <v>No such catagory</v>
      </c>
      <c r="F24" t="str" cm="1">
        <f t="array" ref="F24">_xlfn.IFS(C24&lt;1000,"Moderate",C24&lt;10000,"Severe",C24&gt;100000,"Devastating")</f>
        <v>Devastating</v>
      </c>
    </row>
    <row r="25" spans="1:6">
      <c r="C25" s="3"/>
    </row>
    <row r="26" spans="1:6">
      <c r="C26" s="3"/>
    </row>
    <row r="27" spans="1:6">
      <c r="C27" s="3"/>
    </row>
    <row r="28" spans="1:6">
      <c r="C28" s="3"/>
    </row>
    <row r="29" spans="1:6">
      <c r="C29" s="3"/>
    </row>
    <row r="30" spans="1:6">
      <c r="C30" s="3"/>
    </row>
    <row r="31" spans="1:6">
      <c r="C31" s="3"/>
    </row>
    <row r="32" spans="1:6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ED2CD7-AB5E-404D-849A-F793ABBC6F67}"/>
</file>

<file path=customXml/itemProps2.xml><?xml version="1.0" encoding="utf-8"?>
<ds:datastoreItem xmlns:ds="http://schemas.openxmlformats.org/officeDocument/2006/customXml" ds:itemID="{FF1056E9-45E7-4EE1-B8ED-748AFD02223F}"/>
</file>

<file path=customXml/itemProps3.xml><?xml version="1.0" encoding="utf-8"?>
<ds:datastoreItem xmlns:ds="http://schemas.openxmlformats.org/officeDocument/2006/customXml" ds:itemID="{3D4E24B2-8FB1-41D6-A0B3-EA0C5EC943D2}"/>
</file>

<file path=customXml/itemProps4.xml><?xml version="1.0" encoding="utf-8"?>
<ds:datastoreItem xmlns:ds="http://schemas.openxmlformats.org/officeDocument/2006/customXml" ds:itemID="{00DA10D2-1FFF-490D-B4DA-8729470684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Joe Clayton</cp:lastModifiedBy>
  <cp:revision/>
  <dcterms:created xsi:type="dcterms:W3CDTF">2017-10-17T14:59:20Z</dcterms:created>
  <dcterms:modified xsi:type="dcterms:W3CDTF">2026-07-01T14:43:18Z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